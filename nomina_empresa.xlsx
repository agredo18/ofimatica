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ómina Julio 2026" sheetId="1" state="visible" r:id="rId1"/>
    <sheet xmlns:r="http://schemas.openxmlformats.org/officeDocument/2006/relationships" name="Resumen Gerenc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2" fillId="0" borderId="1" pivotButton="0" quotePrefix="0" xfId="0"/>
    <xf numFmtId="1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Documento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Salario</t>
        </is>
      </c>
      <c r="E1" s="1" t="inlineStr">
        <is>
          <t>Horas Extras</t>
        </is>
      </c>
      <c r="F1" s="1" t="inlineStr">
        <is>
          <t>Auxilio Transporte</t>
        </is>
      </c>
      <c r="G1" s="1" t="inlineStr">
        <is>
          <t>Valor Hora</t>
        </is>
      </c>
      <c r="H1" s="1" t="inlineStr">
        <is>
          <t>Valor Hora Extra</t>
        </is>
      </c>
      <c r="I1" s="1" t="inlineStr">
        <is>
          <t>Total Horas Extras</t>
        </is>
      </c>
      <c r="J1" s="1" t="inlineStr">
        <is>
          <t>Devengado</t>
        </is>
      </c>
      <c r="K1" s="1" t="inlineStr">
        <is>
          <t>Salud</t>
        </is>
      </c>
      <c r="L1" s="1" t="inlineStr">
        <is>
          <t>Pensión</t>
        </is>
      </c>
      <c r="M1" s="1" t="inlineStr">
        <is>
          <t>Neto a Pagar</t>
        </is>
      </c>
    </row>
    <row r="2">
      <c r="A2" s="2" t="n">
        <v>1032456789</v>
      </c>
      <c r="B2" s="3" t="inlineStr">
        <is>
          <t>Laura Gomez Restrepo</t>
        </is>
      </c>
      <c r="C2" s="3" t="inlineStr">
        <is>
          <t>Desarrollador Junior</t>
        </is>
      </c>
      <c r="D2" s="4" t="n">
        <v>2300000</v>
      </c>
      <c r="E2" s="2" t="n">
        <v>12</v>
      </c>
      <c r="F2" s="4" t="n">
        <v>200000</v>
      </c>
      <c r="G2" s="4" t="n">
        <v>9583.33</v>
      </c>
      <c r="H2" s="4" t="n">
        <v>11979.16</v>
      </c>
      <c r="I2" s="4" t="n">
        <v>143749.92</v>
      </c>
      <c r="J2" s="4" t="n">
        <v>2643749.92</v>
      </c>
      <c r="K2" s="4" t="n">
        <v>105750</v>
      </c>
      <c r="L2" s="4" t="n">
        <v>105750</v>
      </c>
      <c r="M2" s="4" t="n">
        <v>2432249.92</v>
      </c>
    </row>
    <row r="3">
      <c r="A3" s="2" t="n">
        <v>1015879234</v>
      </c>
      <c r="B3" s="3" t="inlineStr">
        <is>
          <t>Andres Muñoz Cardenas</t>
        </is>
      </c>
      <c r="C3" s="3" t="inlineStr">
        <is>
          <t>Desarrollador Senior</t>
        </is>
      </c>
      <c r="D3" s="4" t="n">
        <v>4500000</v>
      </c>
      <c r="E3" s="2" t="n">
        <v>8</v>
      </c>
      <c r="F3" s="4" t="n">
        <v>0</v>
      </c>
      <c r="G3" s="4" t="n">
        <v>18750</v>
      </c>
      <c r="H3" s="4" t="n">
        <v>23437.5</v>
      </c>
      <c r="I3" s="4" t="n">
        <v>187500</v>
      </c>
      <c r="J3" s="4" t="n">
        <v>4687500</v>
      </c>
      <c r="K3" s="4" t="n">
        <v>187500</v>
      </c>
      <c r="L3" s="4" t="n">
        <v>187500</v>
      </c>
      <c r="M3" s="4" t="n">
        <v>4312500</v>
      </c>
    </row>
    <row r="4">
      <c r="A4" s="2" t="n">
        <v>1098234567</v>
      </c>
      <c r="B4" s="3" t="inlineStr">
        <is>
          <t>Camila Rojas Vargas</t>
        </is>
      </c>
      <c r="C4" s="3" t="inlineStr">
        <is>
          <t>Analista de Datos</t>
        </is>
      </c>
      <c r="D4" s="4" t="n">
        <v>3200000</v>
      </c>
      <c r="E4" s="2" t="n">
        <v>10</v>
      </c>
      <c r="F4" s="4" t="n">
        <v>0</v>
      </c>
      <c r="G4" s="4" t="n">
        <v>13333.33</v>
      </c>
      <c r="H4" s="4" t="n">
        <v>16666.66</v>
      </c>
      <c r="I4" s="4" t="n">
        <v>166666.6</v>
      </c>
      <c r="J4" s="4" t="n">
        <v>3366666.6</v>
      </c>
      <c r="K4" s="4" t="n">
        <v>134666.66</v>
      </c>
      <c r="L4" s="4" t="n">
        <v>134666.66</v>
      </c>
      <c r="M4" s="4" t="n">
        <v>3097333.28</v>
      </c>
    </row>
    <row r="5">
      <c r="A5" s="2" t="n">
        <v>1004567812</v>
      </c>
      <c r="B5" s="3" t="inlineStr">
        <is>
          <t>Julian Ospina Herrera</t>
        </is>
      </c>
      <c r="C5" s="3" t="inlineStr">
        <is>
          <t>Auxiliar Contable</t>
        </is>
      </c>
      <c r="D5" s="4" t="n">
        <v>2100000</v>
      </c>
      <c r="E5" s="2" t="n">
        <v>20</v>
      </c>
      <c r="F5" s="4" t="n">
        <v>200000</v>
      </c>
      <c r="G5" s="4" t="n">
        <v>8750</v>
      </c>
      <c r="H5" s="4" t="n">
        <v>10937.5</v>
      </c>
      <c r="I5" s="4" t="n">
        <v>218750</v>
      </c>
      <c r="J5" s="4" t="n">
        <v>2518750</v>
      </c>
      <c r="K5" s="4" t="n">
        <v>100750</v>
      </c>
      <c r="L5" s="4" t="n">
        <v>100750</v>
      </c>
      <c r="M5" s="4" t="n">
        <v>2317250</v>
      </c>
    </row>
    <row r="6">
      <c r="A6" s="2" t="n">
        <v>1023458796</v>
      </c>
      <c r="B6" s="3" t="inlineStr">
        <is>
          <t>Valentina Torres Diaz</t>
        </is>
      </c>
      <c r="C6" s="3" t="inlineStr">
        <is>
          <t>Diseñadora UX</t>
        </is>
      </c>
      <c r="D6" s="4" t="n">
        <v>2800000</v>
      </c>
      <c r="E6" s="2" t="n">
        <v>6</v>
      </c>
      <c r="F6" s="4" t="n">
        <v>200000</v>
      </c>
      <c r="G6" s="4" t="n">
        <v>11666.67</v>
      </c>
      <c r="H6" s="4" t="n">
        <v>14583.34</v>
      </c>
      <c r="I6" s="4" t="n">
        <v>87500.03999999999</v>
      </c>
      <c r="J6" s="4" t="n">
        <v>3087500.04</v>
      </c>
      <c r="K6" s="4" t="n">
        <v>123500</v>
      </c>
      <c r="L6" s="4" t="n">
        <v>123500</v>
      </c>
      <c r="M6" s="4" t="n">
        <v>2840500.04</v>
      </c>
    </row>
    <row r="7">
      <c r="A7" s="2" t="n">
        <v>1078965412</v>
      </c>
      <c r="B7" s="3" t="inlineStr">
        <is>
          <t>Sebastian Rios Mejia</t>
        </is>
      </c>
      <c r="C7" s="3" t="inlineStr">
        <is>
          <t>Gerente de Proyecto</t>
        </is>
      </c>
      <c r="D7" s="4" t="n">
        <v>5000000</v>
      </c>
      <c r="E7" s="2" t="n">
        <v>0</v>
      </c>
      <c r="F7" s="4" t="n">
        <v>0</v>
      </c>
      <c r="G7" s="4" t="n">
        <v>20833.33</v>
      </c>
      <c r="H7" s="4" t="n">
        <v>26041.66</v>
      </c>
      <c r="I7" s="4" t="n">
        <v>0</v>
      </c>
      <c r="J7" s="4" t="n">
        <v>5000000</v>
      </c>
      <c r="K7" s="4" t="n">
        <v>200000</v>
      </c>
      <c r="L7" s="4" t="n">
        <v>200000</v>
      </c>
      <c r="M7" s="4" t="n">
        <v>4600000</v>
      </c>
    </row>
    <row r="8">
      <c r="A8" s="2" t="n">
        <v>1045678923</v>
      </c>
      <c r="B8" s="3" t="inlineStr">
        <is>
          <t>Daniela Castro Pineda</t>
        </is>
      </c>
      <c r="C8" s="3" t="inlineStr">
        <is>
          <t>Analista de Calidad</t>
        </is>
      </c>
      <c r="D8" s="4" t="n">
        <v>2650000</v>
      </c>
      <c r="E8" s="2" t="n">
        <v>15</v>
      </c>
      <c r="F8" s="4" t="n">
        <v>200000</v>
      </c>
      <c r="G8" s="4" t="n">
        <v>11041.67</v>
      </c>
      <c r="H8" s="4" t="n">
        <v>13802.09</v>
      </c>
      <c r="I8" s="4" t="n">
        <v>207031.35</v>
      </c>
      <c r="J8" s="4" t="n">
        <v>3057031.35</v>
      </c>
      <c r="K8" s="4" t="n">
        <v>122281.25</v>
      </c>
      <c r="L8" s="4" t="n">
        <v>122281.25</v>
      </c>
      <c r="M8" s="4" t="n">
        <v>2812468.85</v>
      </c>
    </row>
    <row r="9">
      <c r="A9" s="2" t="n">
        <v>1067894523</v>
      </c>
      <c r="B9" s="3" t="inlineStr">
        <is>
          <t>Mateo Salazar Quintero</t>
        </is>
      </c>
      <c r="C9" s="3" t="inlineStr">
        <is>
          <t>Ingeniero DevOps</t>
        </is>
      </c>
      <c r="D9" s="4" t="n">
        <v>4100000</v>
      </c>
      <c r="E9" s="2" t="n">
        <v>9</v>
      </c>
      <c r="F9" s="4" t="n">
        <v>0</v>
      </c>
      <c r="G9" s="4" t="n">
        <v>17083.33</v>
      </c>
      <c r="H9" s="4" t="n">
        <v>21354.16</v>
      </c>
      <c r="I9" s="4" t="n">
        <v>192187.44</v>
      </c>
      <c r="J9" s="4" t="n">
        <v>4292187.44</v>
      </c>
      <c r="K9" s="4" t="n">
        <v>171687.5</v>
      </c>
      <c r="L9" s="4" t="n">
        <v>171687.5</v>
      </c>
      <c r="M9" s="4" t="n">
        <v>3948812.44</v>
      </c>
    </row>
    <row r="10">
      <c r="A10" s="2" t="n">
        <v>1089452367</v>
      </c>
      <c r="B10" s="3" t="inlineStr">
        <is>
          <t>Isabella Nieto Ramirez</t>
        </is>
      </c>
      <c r="C10" s="3" t="inlineStr">
        <is>
          <t>Asistente Administrativa</t>
        </is>
      </c>
      <c r="D10" s="4" t="n">
        <v>2000000</v>
      </c>
      <c r="E10" s="2" t="n">
        <v>18</v>
      </c>
      <c r="F10" s="4" t="n">
        <v>200000</v>
      </c>
      <c r="G10" s="4" t="n">
        <v>8333.33</v>
      </c>
      <c r="H10" s="4" t="n">
        <v>10416.66</v>
      </c>
      <c r="I10" s="4" t="n">
        <v>187499.88</v>
      </c>
      <c r="J10" s="4" t="n">
        <v>2387499.88</v>
      </c>
      <c r="K10" s="4" t="n">
        <v>95500</v>
      </c>
      <c r="L10" s="4" t="n">
        <v>95500</v>
      </c>
      <c r="M10" s="4" t="n">
        <v>2196499.88</v>
      </c>
    </row>
    <row r="11">
      <c r="A11" s="2" t="n">
        <v>1056783412</v>
      </c>
      <c r="B11" s="3" t="inlineStr">
        <is>
          <t>Santiago Bedoya Lopez</t>
        </is>
      </c>
      <c r="C11" s="3" t="inlineStr">
        <is>
          <t>Lider Tecnico</t>
        </is>
      </c>
      <c r="D11" s="4" t="n">
        <v>4800000</v>
      </c>
      <c r="E11" s="2" t="n">
        <v>5</v>
      </c>
      <c r="F11" s="4" t="n">
        <v>0</v>
      </c>
      <c r="G11" s="4" t="n">
        <v>20000</v>
      </c>
      <c r="H11" s="4" t="n">
        <v>25000</v>
      </c>
      <c r="I11" s="4" t="n">
        <v>125000</v>
      </c>
      <c r="J11" s="4" t="n">
        <v>4925000</v>
      </c>
      <c r="K11" s="4" t="n">
        <v>197000</v>
      </c>
      <c r="L11" s="4" t="n">
        <v>197000</v>
      </c>
      <c r="M11" s="4" t="n">
        <v>4531000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5" t="inlineStr">
        <is>
          <t>Total Empleados</t>
        </is>
      </c>
      <c r="B2" s="6">
        <f>COUNTA('Nómina Julio 2026'!A2:A11)</f>
        <v/>
      </c>
    </row>
    <row r="3">
      <c r="A3" s="5" t="inlineStr">
        <is>
          <t>Total Nómina</t>
        </is>
      </c>
      <c r="B3" s="4">
        <f>SUM('Nómina Julio 2026'!J2:J11)</f>
        <v/>
      </c>
    </row>
    <row r="4">
      <c r="A4" s="5" t="inlineStr">
        <is>
          <t>Total Salud</t>
        </is>
      </c>
      <c r="B4" s="4">
        <f>SUM('Nómina Julio 2026'!K2:K11)</f>
        <v/>
      </c>
    </row>
    <row r="5">
      <c r="A5" s="5" t="inlineStr">
        <is>
          <t>Total Pensión</t>
        </is>
      </c>
      <c r="B5" s="4">
        <f>SUM('Nómina Julio 2026'!L2:L11)</f>
        <v/>
      </c>
    </row>
    <row r="6">
      <c r="A6" s="5" t="inlineStr">
        <is>
          <t>Mayor Salario</t>
        </is>
      </c>
      <c r="B6" s="4">
        <f>MAX('Nómina Julio 2026'!D2:D11)</f>
        <v/>
      </c>
    </row>
    <row r="7">
      <c r="A7" s="5" t="inlineStr">
        <is>
          <t>Menor Salario</t>
        </is>
      </c>
      <c r="B7" s="4">
        <f>MIN('Nómina Julio 2026'!D2:D11)</f>
        <v/>
      </c>
    </row>
    <row r="8">
      <c r="A8" s="5" t="inlineStr">
        <is>
          <t>Promedio Salarial</t>
        </is>
      </c>
      <c r="B8" s="4">
        <f>AVERAGE('Nómina Julio 2026'!D2:D11)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2026-07-14T13:25:47Z</dcterms:created>
  <dcterms:modified xmlns:dcterms="http://purl.org/dc/terms/" xmlns:xsi="http://www.w3.org/2001/XMLSchema-instance" xsi:type="dcterms:W3CDTF">2026-07-14T13:25:47Z</dcterms:modified>
</cp:coreProperties>
</file>